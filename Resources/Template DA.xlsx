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c0d62fc9cb0dc4/Documents/ExcelTab/ExcelTab/ERP/Mint/Resources/"/>
    </mc:Choice>
  </mc:AlternateContent>
  <xr:revisionPtr revIDLastSave="9" documentId="13_ncr:1_{3F17434F-76FE-4A3D-9172-611C1817AEDB}" xr6:coauthVersionLast="47" xr6:coauthVersionMax="47" xr10:uidLastSave="{DE1CB857-E726-4795-A301-BB4174B6E117}"/>
  <bookViews>
    <workbookView xWindow="-120" yWindow="-120" windowWidth="29040" windowHeight="15840" xr2:uid="{7ABB0606-89AC-48EB-ABE2-88E1B942FF1F}"/>
  </bookViews>
  <sheets>
    <sheet name="Total" sheetId="1" r:id="rId1"/>
  </sheets>
  <definedNames>
    <definedName name="R_ADRESS">Total!$F$5</definedName>
    <definedName name="R_COMMISSION">Total!$E$20</definedName>
    <definedName name="R_EMAIL">Total!$F$4</definedName>
    <definedName name="R_ENTRY">Total!$F$8</definedName>
    <definedName name="R_HEADER">Total!$B$2</definedName>
    <definedName name="R_PAYMENT">Total!$F$9</definedName>
    <definedName name="R_REPORTNAME">Total!$B$10</definedName>
    <definedName name="R_TABLE">Total!$B$14</definedName>
    <definedName name="R_TIME">Total!$B$11</definedName>
    <definedName name="R_TVA">Total!$E$21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6" i="1"/>
  <c r="G20" i="1" l="1"/>
  <c r="G21" i="1" s="1"/>
  <c r="G22" i="1" s="1"/>
  <c r="G16" i="1"/>
  <c r="F17" i="1" l="1"/>
</calcChain>
</file>

<file path=xl/sharedStrings.xml><?xml version="1.0" encoding="utf-8"?>
<sst xmlns="http://schemas.openxmlformats.org/spreadsheetml/2006/main" count="27" uniqueCount="27">
  <si>
    <t xml:space="preserve">SARL HEXOA </t>
  </si>
  <si>
    <t>40510 SEIGNOSSE</t>
  </si>
  <si>
    <t>Tél : 05 58 49 12 51</t>
  </si>
  <si>
    <t>Source</t>
  </si>
  <si>
    <t>id Commande</t>
  </si>
  <si>
    <t>date_facture</t>
  </si>
  <si>
    <t>ref_produit</t>
  </si>
  <si>
    <t>Hexoa</t>
  </si>
  <si>
    <t>XRXYCIPTQ</t>
  </si>
  <si>
    <t>14A-AKG1608326HX2AP</t>
  </si>
  <si>
    <t xml:space="preserve">Commission : </t>
  </si>
  <si>
    <t xml:space="preserve">Les commissions seront versées par virement sous 72H </t>
  </si>
  <si>
    <t>ZONE DE LAUBIAN</t>
  </si>
  <si>
    <t>10 IMPASSE DE LA LANDE</t>
  </si>
  <si>
    <t>info@hexoa.fr</t>
  </si>
  <si>
    <t>nombre de vente</t>
  </si>
  <si>
    <t xml:space="preserve">TVA  : </t>
  </si>
  <si>
    <t xml:space="preserve">Email : </t>
  </si>
  <si>
    <t xml:space="preserve">Adresse : </t>
  </si>
  <si>
    <t xml:space="preserve">Date d'entrée : </t>
  </si>
  <si>
    <t xml:space="preserve">Moyen de paiement : </t>
  </si>
  <si>
    <t xml:space="preserve">DROIT AUTEUR : </t>
  </si>
  <si>
    <t>prix_payé</t>
  </si>
  <si>
    <t xml:space="preserve">Total TTC : </t>
  </si>
  <si>
    <t>Total HT :</t>
  </si>
  <si>
    <t xml:space="preserve">TVA Auteur : </t>
  </si>
  <si>
    <t>TOTAL VERSEMENT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</si>
</sst>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#,##0.00_);[Red]\(&quot;€&quot;#,##0.00\)"/>
    <numFmt numFmtId="165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4" fontId="3" fillId="0" borderId="3" xfId="0" applyNumberFormat="1" applyFont="1" applyBorder="1" applyAlignment="1">
      <alignment horizontal="left"/>
    </xf>
    <xf numFmtId="0" fontId="3" fillId="0" borderId="5" xfId="0" applyFont="1" applyBorder="1"/>
    <xf numFmtId="14" fontId="3" fillId="0" borderId="6" xfId="0" applyNumberFormat="1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14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14" fontId="0" fillId="0" borderId="14" xfId="0" applyNumberFormat="1" applyBorder="1" applyAlignment="1">
      <alignment horizontal="left"/>
    </xf>
    <xf numFmtId="2" fontId="0" fillId="0" borderId="14" xfId="0" applyNumberFormat="1" applyBorder="1"/>
    <xf numFmtId="1" fontId="0" fillId="0" borderId="14" xfId="0" applyNumberForma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13" xfId="0" applyNumberFormat="1" applyFont="1" applyBorder="1" applyAlignment="1">
      <alignment horizontal="left"/>
    </xf>
    <xf numFmtId="165" fontId="0" fillId="0" borderId="14" xfId="0" applyNumberFormat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14" fontId="5" fillId="0" borderId="8" xfId="1" applyNumberFormat="1" applyBorder="1" applyAlignment="1">
      <alignment horizontal="left"/>
    </xf>
    <xf numFmtId="14" fontId="1" fillId="0" borderId="11" xfId="0" applyNumberFormat="1" applyFont="1" applyBorder="1"/>
    <xf numFmtId="14" fontId="1" fillId="0" borderId="14" xfId="0" applyNumberFormat="1" applyFont="1" applyBorder="1"/>
    <xf numFmtId="165" fontId="0" fillId="0" borderId="0" xfId="0" applyNumberFormat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0" xfId="0" applyNumberFormat="1"/>
    <xf numFmtId="1" fontId="1" fillId="2" borderId="14" xfId="0" applyNumberFormat="1" applyFont="1" applyFill="1" applyBorder="1" applyAlignment="1">
      <alignment horizontal="center"/>
    </xf>
    <xf numFmtId="9" fontId="1" fillId="2" borderId="14" xfId="0" applyNumberFormat="1" applyFont="1" applyFill="1" applyBorder="1"/>
    <xf numFmtId="164" fontId="1" fillId="2" borderId="14" xfId="0" applyNumberFormat="1" applyFont="1" applyFill="1" applyBorder="1"/>
    <xf numFmtId="165" fontId="0" fillId="2" borderId="13" xfId="0" applyNumberFormat="1" applyFill="1" applyBorder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4" fontId="0" fillId="2" borderId="14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left"/>
    </xf>
    <xf numFmtId="2" fontId="1" fillId="0" borderId="14" xfId="0" applyNumberFormat="1" applyFont="1" applyBorder="1"/>
    <xf numFmtId="9" fontId="1" fillId="0" borderId="14" xfId="0" applyNumberFormat="1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0" fillId="0" borderId="6" xfId="0" applyNumberFormat="1" applyBorder="1" applyAlignment="1">
      <alignment horizontal="left" vertical="top"/>
    </xf>
    <xf numFmtId="1" fontId="0" fillId="0" borderId="7" xfId="0" applyNumberFormat="1" applyBorder="1" applyAlignment="1">
      <alignment horizontal="left" vertical="top"/>
    </xf>
    <xf numFmtId="1" fontId="0" fillId="0" borderId="6" xfId="0" applyNumberFormat="1" applyBorder="1" applyAlignment="1">
      <alignment horizontal="left" vertical="top" wrapText="1"/>
    </xf>
    <xf numFmtId="1" fontId="0" fillId="0" borderId="7" xfId="0" applyNumberFormat="1" applyBorder="1" applyAlignment="1">
      <alignment horizontal="left" vertical="top" wrapText="1"/>
    </xf>
    <xf numFmtId="1" fontId="0" fillId="0" borderId="8" xfId="0" applyNumberFormat="1" applyBorder="1" applyAlignment="1">
      <alignment horizontal="left" vertical="top"/>
    </xf>
    <xf numFmtId="1" fontId="0" fillId="0" borderId="9" xfId="0" applyNumberFormat="1" applyBorder="1" applyAlignment="1">
      <alignment horizontal="left" vertical="top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4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360592</xdr:colOff>
      <xdr:row>3</xdr:row>
      <xdr:rowOff>160564</xdr:rowOff>
    </xdr:from>
    <xdr:to>
      <xdr:col>2</xdr:col>
      <xdr:colOff>1152526</xdr:colOff>
      <xdr:row>8</xdr:row>
      <xdr:rowOff>97970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EF465F-FAA1-4774-B619-C372E3686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0592" y="683078"/>
          <a:ext cx="2213880" cy="862692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hexoa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BA79-710B-4D83-8881-B7881CB068C8}">
  <sheetPr>
    <pageSetUpPr fitToPage="1"/>
  </sheetPr>
  <dimension ref="A1:H24"/>
  <sheetViews>
    <sheetView showGridLines="0" showRowColHeaders="0" tabSelected="1" zoomScaleNormal="100" workbookViewId="0">
      <selection activeCell="B2" sqref="B2:G2"/>
    </sheetView>
  </sheetViews>
  <sheetFormatPr defaultColWidth="0" defaultRowHeight="15" x14ac:dyDescent="0.25"/>
  <cols>
    <col min="1" max="1" width="2.7109375" customWidth="1"/>
    <col min="2" max="2" width="21" customWidth="1"/>
    <col min="3" max="3" width="29.28515625" customWidth="1"/>
    <col min="4" max="4" width="21.42578125" customWidth="1"/>
    <col min="5" max="5" width="26.140625" customWidth="1"/>
    <col min="6" max="6" width="18.42578125" style="25" customWidth="1"/>
    <col min="7" max="7" width="23.42578125" customWidth="1"/>
    <col min="8" max="8" width="2.5703125" customWidth="1"/>
    <col min="9" max="16384" width="11.42578125" hidden="1"/>
  </cols>
  <sheetData>
    <row r="1" spans="2:7" ht="9.75" customHeight="1" thickBot="1" x14ac:dyDescent="0.3"/>
    <row r="2" spans="2:7" ht="27" thickBot="1" x14ac:dyDescent="0.3">
      <c r="B2" s="55" t="s">
        <v>21</v>
      </c>
      <c r="C2" s="56"/>
      <c r="D2" s="56"/>
      <c r="E2" s="56"/>
      <c r="F2" s="56"/>
      <c r="G2" s="57"/>
    </row>
    <row r="3" spans="2:7" x14ac:dyDescent="0.25">
      <c r="C3" s="1"/>
      <c r="D3" s="2"/>
      <c r="F3" s="23"/>
      <c r="G3" s="3"/>
    </row>
    <row r="4" spans="2:7" x14ac:dyDescent="0.25">
      <c r="B4" s="58"/>
      <c r="C4" s="59"/>
      <c r="D4" s="4" t="s">
        <v>0</v>
      </c>
      <c r="E4" s="5"/>
      <c r="F4" s="44" t="s">
        <v>17</v>
      </c>
      <c r="G4" s="45"/>
    </row>
    <row r="5" spans="2:7" x14ac:dyDescent="0.25">
      <c r="B5" s="60"/>
      <c r="C5" s="61"/>
      <c r="D5" s="6" t="s">
        <v>13</v>
      </c>
      <c r="E5" s="7"/>
      <c r="F5" s="46" t="s">
        <v>18</v>
      </c>
      <c r="G5" s="47"/>
    </row>
    <row r="6" spans="2:7" x14ac:dyDescent="0.25">
      <c r="B6" s="60"/>
      <c r="C6" s="61"/>
      <c r="D6" s="6" t="s">
        <v>12</v>
      </c>
      <c r="E6" s="7"/>
      <c r="F6" s="46"/>
      <c r="G6" s="47"/>
    </row>
    <row r="7" spans="2:7" x14ac:dyDescent="0.25">
      <c r="B7" s="60"/>
      <c r="C7" s="61"/>
      <c r="D7" s="6" t="s">
        <v>1</v>
      </c>
      <c r="E7" s="7"/>
      <c r="F7" s="46"/>
      <c r="G7" s="47"/>
    </row>
    <row r="8" spans="2:7" x14ac:dyDescent="0.25">
      <c r="B8" s="60"/>
      <c r="C8" s="61"/>
      <c r="D8" s="6" t="s">
        <v>2</v>
      </c>
      <c r="E8" s="7"/>
      <c r="F8" s="48" t="s">
        <v>19</v>
      </c>
      <c r="G8" s="49"/>
    </row>
    <row r="9" spans="2:7" x14ac:dyDescent="0.25">
      <c r="B9" s="62"/>
      <c r="C9" s="63"/>
      <c r="D9" s="20" t="s">
        <v>14</v>
      </c>
      <c r="E9" s="8"/>
      <c r="F9" s="50" t="s">
        <v>20</v>
      </c>
      <c r="G9" s="51"/>
    </row>
    <row r="10" spans="2:7" x14ac:dyDescent="0.25">
      <c r="B10" s="64"/>
      <c r="C10" s="65"/>
      <c r="D10" s="65"/>
      <c r="E10" s="65"/>
      <c r="F10" s="65"/>
      <c r="G10" s="66"/>
    </row>
    <row r="11" spans="2:7" x14ac:dyDescent="0.25">
      <c r="B11" s="64"/>
      <c r="C11" s="65"/>
      <c r="D11" s="65"/>
      <c r="E11" s="65"/>
      <c r="F11" s="65"/>
      <c r="G11" s="66"/>
    </row>
    <row r="12" spans="2:7" x14ac:dyDescent="0.25">
      <c r="B12" s="1"/>
      <c r="C12" s="1"/>
      <c r="D12" s="9"/>
      <c r="E12" s="1"/>
      <c r="F12" s="23"/>
      <c r="G12" s="3"/>
    </row>
    <row r="13" spans="2:7" x14ac:dyDescent="0.25">
      <c r="B13" s="34" t="s">
        <v>3</v>
      </c>
      <c r="C13" s="34" t="s">
        <v>4</v>
      </c>
      <c r="D13" s="35" t="s">
        <v>5</v>
      </c>
      <c r="E13" s="36" t="s">
        <v>6</v>
      </c>
      <c r="F13" s="19" t="s">
        <v>22</v>
      </c>
      <c r="G13" s="14" t="s">
        <v>15</v>
      </c>
    </row>
    <row r="14" spans="2:7" x14ac:dyDescent="0.25">
      <c r="B14" s="10" t="s">
        <v>7</v>
      </c>
      <c r="C14" s="10" t="s">
        <v>8</v>
      </c>
      <c r="D14" s="11">
        <v>45019</v>
      </c>
      <c r="E14" s="12" t="s">
        <v>9</v>
      </c>
      <c r="F14" s="18">
        <v>54.9</v>
      </c>
      <c r="G14" s="13">
        <v>1</v>
      </c>
    </row>
    <row r="15" spans="2:7" x14ac:dyDescent="0.25">
      <c r="B15" s="31"/>
      <c r="C15" s="31"/>
      <c r="D15" s="32"/>
      <c r="E15" s="31"/>
      <c r="F15" s="30"/>
      <c r="G15" s="33"/>
    </row>
    <row r="16" spans="2:7" x14ac:dyDescent="0.25">
      <c r="B16" s="67"/>
      <c r="C16" s="68"/>
      <c r="D16" s="22" t="s">
        <v>23</v>
      </c>
      <c r="E16" s="27"/>
      <c r="F16" s="24">
        <f>SUM(F13:F15)</f>
        <v>54.9</v>
      </c>
      <c r="G16" s="14">
        <f>SUM(G13:G15)</f>
        <v>1</v>
      </c>
    </row>
    <row r="17" spans="2:7" x14ac:dyDescent="0.25">
      <c r="B17" s="15"/>
      <c r="C17" s="16"/>
      <c r="D17" s="22" t="s">
        <v>16</v>
      </c>
      <c r="E17" s="37">
        <v>0.2</v>
      </c>
      <c r="F17" s="24">
        <f>F16-F18</f>
        <v>9.1499999999999986</v>
      </c>
      <c r="G17" s="26"/>
    </row>
    <row r="18" spans="2:7" x14ac:dyDescent="0.25">
      <c r="B18" s="15"/>
      <c r="C18" s="16"/>
      <c r="D18" s="22" t="s">
        <v>24</v>
      </c>
      <c r="E18" s="28"/>
      <c r="F18" s="24">
        <f>F16/(1+E17)</f>
        <v>45.75</v>
      </c>
      <c r="G18" s="26"/>
    </row>
    <row r="19" spans="2:7" x14ac:dyDescent="0.25">
      <c r="B19" s="52"/>
      <c r="C19" s="53"/>
      <c r="D19" s="54"/>
      <c r="E19" s="54"/>
      <c r="F19" s="29"/>
      <c r="G19" s="30"/>
    </row>
    <row r="20" spans="2:7" x14ac:dyDescent="0.25">
      <c r="B20" s="52"/>
      <c r="C20" s="53"/>
      <c r="D20" s="21" t="s">
        <v>10</v>
      </c>
      <c r="E20" s="17"/>
      <c r="F20" s="24"/>
      <c r="G20" s="18">
        <f>F18*E20</f>
        <v>0</v>
      </c>
    </row>
    <row r="21" spans="2:7" x14ac:dyDescent="0.25">
      <c r="B21" s="38"/>
      <c r="C21" s="39"/>
      <c r="D21" s="21" t="s">
        <v>25</v>
      </c>
      <c r="E21" s="17"/>
      <c r="F21" s="24"/>
      <c r="G21" s="18">
        <f>G20*E21</f>
        <v>0</v>
      </c>
    </row>
    <row r="22" spans="2:7" x14ac:dyDescent="0.25">
      <c r="B22" s="40"/>
      <c r="C22" s="41"/>
      <c r="D22" s="21" t="s">
        <v>26</v>
      </c>
      <c r="E22" s="17"/>
      <c r="F22" s="24"/>
      <c r="G22" s="19">
        <f>G20+G21</f>
        <v>0</v>
      </c>
    </row>
    <row r="23" spans="2:7" x14ac:dyDescent="0.25">
      <c r="B23" s="42" t="s">
        <v>11</v>
      </c>
      <c r="C23" s="42"/>
      <c r="D23" s="42"/>
      <c r="E23" s="42"/>
      <c r="F23" s="43"/>
      <c r="G23" s="43"/>
    </row>
    <row r="24" spans="2:7" x14ac:dyDescent="0.25">
      <c r="C24" s="1"/>
      <c r="D24" s="2"/>
      <c r="F24" s="23"/>
      <c r="G24" s="3"/>
    </row>
  </sheetData>
  <mergeCells count="15">
    <mergeCell ref="B2:G2"/>
    <mergeCell ref="B4:C9"/>
    <mergeCell ref="B10:G10"/>
    <mergeCell ref="B11:G11"/>
    <mergeCell ref="B16:C16"/>
    <mergeCell ref="B21:C21"/>
    <mergeCell ref="B22:C22"/>
    <mergeCell ref="B23:G23"/>
    <mergeCell ref="F4:G4"/>
    <mergeCell ref="F5:G7"/>
    <mergeCell ref="F8:G8"/>
    <mergeCell ref="F9:G9"/>
    <mergeCell ref="B19:C19"/>
    <mergeCell ref="D19:E19"/>
    <mergeCell ref="B20:C20"/>
  </mergeCells>
  <hyperlinks>
    <hyperlink ref="D9" r:id="rId1" xr:uid="{F7C5E738-447A-45F5-A3A3-6FFECFC0D9BA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9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Total</vt:lpstr>
      <vt:lpstr>R_ADRESS</vt:lpstr>
      <vt:lpstr>R_COMMISSION</vt:lpstr>
      <vt:lpstr>R_EMAIL</vt:lpstr>
      <vt:lpstr>R_ENTRY</vt:lpstr>
      <vt:lpstr>R_HEADER</vt:lpstr>
      <vt:lpstr>R_PAYMENT</vt:lpstr>
      <vt:lpstr>R_REPORTNAME</vt:lpstr>
      <vt:lpstr>R_TABLE</vt:lpstr>
      <vt:lpstr>R_TIME</vt:lpstr>
      <vt:lpstr>R_TVA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Gobbini</dc:creator>
  <cp:lastModifiedBy>Simon Ghislain</cp:lastModifiedBy>
  <cp:lastPrinted>2024-01-24T16:51:07Z</cp:lastPrinted>
  <dcterms:created xsi:type="dcterms:W3CDTF">2023-12-15T14:30:22Z</dcterms:created>
  <dcterms:modified xsi:type="dcterms:W3CDTF">2024-01-24T16:51:35Z</dcterms:modified>
</cp:coreProperties>
</file>